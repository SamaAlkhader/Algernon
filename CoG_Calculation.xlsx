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G Calc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<sst xmlns="http://schemas.openxmlformats.org/spreadsheetml/2006/main" count="32" uniqueCount="32">
  <si>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Micromouse Chassis - Center of Gravity (CoG) Calculation</t>
  </si>
  <si>
    <t xml:space="preserve">Owner: Islam | Method: weighted average, x_CoG = sum(m_i*x_i)/sum(m_i), y_CoG = sum(m_i*y_i)/sum(m_i)</t>
  </si>
  <si>
    <t xml:space="preserve">Cells in BLUE are inputs to edit once real components/measurements are available. Cells in BLACK are formulas.</t>
  </si>
  <si>
    <t xml:space="preserve">Component</t>
  </si>
  <si>
    <t xml:space="preserve">Mass m_i (g)</t>
  </si>
  <si>
    <t xml:space="preserve">x-position (mm)</t>
  </si>
  <si>
    <t xml:space="preserve">y-position (mm)</t>
  </si>
  <si>
    <t xml:space="preserve">m_i * x_i</t>
  </si>
  <si>
    <t xml:space="preserve">m_i * y_i</t>
  </si>
  <si>
    <t xml:space="preserve">Source / Assumption note</t>
  </si>
  <si>
    <t xml:space="preserve">Battery (LiPo 2S)</t>
  </si>
  <si>
    <t xml:space="preserve">Assumed mass; placed low/rear for braking stability - CONFIRM with real battery datasheet</t>
  </si>
  <si>
    <t xml:space="preserve">Drive motor - Left</t>
  </si>
  <si>
    <t xml:space="preserve">Typical N20/coreless micromouse motor mass - CONFIRM</t>
  </si>
  <si>
    <t xml:space="preserve">Drive motor - Right</t>
  </si>
  <si>
    <t xml:space="preserve">Symmetric to left motor - CONFIRM</t>
  </si>
  <si>
    <t xml:space="preserve">Main PCB / MCU board</t>
  </si>
  <si>
    <t xml:space="preserve">Assumed mass for a small custom PCB - CONFIRM</t>
  </si>
  <si>
    <t xml:space="preserve">Sensor array (front)</t>
  </si>
  <si>
    <t xml:space="preserve">IR emitter/receiver set at front of chassis - CONFIRM</t>
  </si>
  <si>
    <t xml:space="preserve">Wheels + gearbox (x2)</t>
  </si>
  <si>
    <t xml:space="preserve">Combined mass for both wheel/gearbox assemblies - CONFIRM</t>
  </si>
  <si>
    <t xml:space="preserve">3D-printed chassis shell</t>
  </si>
  <si>
    <t xml:space="preserve">Estimated print mass at chosen infill - CONFIRM after slicing</t>
  </si>
  <si>
    <t xml:space="preserve">TOTAL</t>
  </si>
  <si>
    <t xml:space="preserve">x_CoG (mm)</t>
  </si>
  <si>
    <t xml:space="preserve">y_CoG (mm)</t>
  </si>
  <si>
    <t xml:space="preserve">Chassis footprint (assumed, mm)</t>
  </si>
  <si>
    <t xml:space="preserve">Footprint X (width)</t>
  </si>
  <si>
    <t xml:space="preserve">Footprint Y (length)</t>
  </si>
  <si>
    <t xml:space="preserve">CoG X as % of width (target: 40-60% = centered)</t>
  </si>
  <si>
    <t xml:space="preserve">CoG Y as % of length from rear (target: &lt;=45% = rear/low, resists nose-dive)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</si>
</sst>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2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45</v>
      </c>
      <c r="C6" s="6" t="n">
        <v>40</v>
      </c>
      <c r="D6" s="6" t="n">
        <v>20</v>
      </c>
      <c r="E6" s="5" t="n">
        <f aca="false">B6*C6</f>
        <v>1800</v>
      </c>
      <c r="F6" s="5" t="n">
        <f aca="false">B6*D6</f>
        <v>900</v>
      </c>
      <c r="G6" s="7" t="s">
        <v>11</v>
      </c>
    </row>
    <row r="7" customFormat="false" ht="15" hidden="false" customHeight="false" outlineLevel="0" collapsed="false">
      <c r="A7" s="5" t="s">
        <v>12</v>
      </c>
      <c r="B7" s="6" t="n">
        <v>10</v>
      </c>
      <c r="C7" s="6" t="n">
        <v>25</v>
      </c>
      <c r="D7" s="6" t="n">
        <v>60</v>
      </c>
      <c r="E7" s="5" t="n">
        <f aca="false">B7*C7</f>
        <v>250</v>
      </c>
      <c r="F7" s="5" t="n">
        <f aca="false">B7*D7</f>
        <v>600</v>
      </c>
      <c r="G7" s="7" t="s">
        <v>13</v>
      </c>
    </row>
    <row r="8" customFormat="false" ht="15" hidden="false" customHeight="false" outlineLevel="0" collapsed="false">
      <c r="A8" s="5" t="s">
        <v>14</v>
      </c>
      <c r="B8" s="6" t="n">
        <v>10</v>
      </c>
      <c r="C8" s="6" t="n">
        <v>55</v>
      </c>
      <c r="D8" s="6" t="n">
        <v>60</v>
      </c>
      <c r="E8" s="5" t="n">
        <f aca="false">B8*C8</f>
        <v>550</v>
      </c>
      <c r="F8" s="5" t="n">
        <f aca="false">B8*D8</f>
        <v>600</v>
      </c>
      <c r="G8" s="7" t="s">
        <v>15</v>
      </c>
    </row>
    <row r="9" customFormat="false" ht="15" hidden="false" customHeight="false" outlineLevel="0" collapsed="false">
      <c r="A9" s="5" t="s">
        <v>16</v>
      </c>
      <c r="B9" s="6" t="n">
        <v>15</v>
      </c>
      <c r="C9" s="6" t="n">
        <v>40</v>
      </c>
      <c r="D9" s="6" t="n">
        <v>90</v>
      </c>
      <c r="E9" s="5" t="n">
        <f aca="false">B9*C9</f>
        <v>600</v>
      </c>
      <c r="F9" s="5" t="n">
        <f aca="false">B9*D9</f>
        <v>1350</v>
      </c>
      <c r="G9" s="7" t="s">
        <v>17</v>
      </c>
    </row>
    <row r="10" customFormat="false" ht="15" hidden="false" customHeight="false" outlineLevel="0" collapsed="false">
      <c r="A10" s="5" t="s">
        <v>18</v>
      </c>
      <c r="B10" s="6" t="n">
        <v>8</v>
      </c>
      <c r="C10" s="6" t="n">
        <v>40</v>
      </c>
      <c r="D10" s="6" t="n">
        <v>130</v>
      </c>
      <c r="E10" s="5" t="n">
        <f aca="false">B10*C10</f>
        <v>320</v>
      </c>
      <c r="F10" s="5" t="n">
        <f aca="false">B10*D10</f>
        <v>1040</v>
      </c>
      <c r="G10" s="7" t="s">
        <v>19</v>
      </c>
    </row>
    <row r="11" customFormat="false" ht="15" hidden="false" customHeight="false" outlineLevel="0" collapsed="false">
      <c r="A11" s="5" t="s">
        <v>20</v>
      </c>
      <c r="B11" s="6" t="n">
        <v>12</v>
      </c>
      <c r="C11" s="6" t="n">
        <v>40</v>
      </c>
      <c r="D11" s="6" t="n">
        <v>60</v>
      </c>
      <c r="E11" s="5" t="n">
        <f aca="false">B11*C11</f>
        <v>480</v>
      </c>
      <c r="F11" s="5" t="n">
        <f aca="false">B11*D11</f>
        <v>720</v>
      </c>
      <c r="G11" s="7" t="s">
        <v>21</v>
      </c>
    </row>
    <row r="12" customFormat="false" ht="15" hidden="false" customHeight="false" outlineLevel="0" collapsed="false">
      <c r="A12" s="5" t="s">
        <v>22</v>
      </c>
      <c r="B12" s="6" t="n">
        <v>30</v>
      </c>
      <c r="C12" s="6" t="n">
        <v>40</v>
      </c>
      <c r="D12" s="6" t="n">
        <v>75</v>
      </c>
      <c r="E12" s="5" t="n">
        <f aca="false">B12*C12</f>
        <v>1200</v>
      </c>
      <c r="F12" s="5" t="n">
        <f aca="false">B12*D12</f>
        <v>2250</v>
      </c>
      <c r="G12" s="7" t="s">
        <v>23</v>
      </c>
    </row>
    <row r="13" customFormat="false" ht="15" hidden="false" customHeight="false" outlineLevel="0" collapsed="false">
      <c r="A13" s="8" t="s">
        <v>24</v>
      </c>
      <c r="B13" s="8" t="n">
        <f aca="false">SUM(B6:B12)</f>
        <v>130</v>
      </c>
      <c r="C13" s="9"/>
      <c r="D13" s="9"/>
      <c r="E13" s="8" t="n">
        <f aca="false">SUM(E6:E12)</f>
        <v>5200</v>
      </c>
      <c r="F13" s="8" t="n">
        <f aca="false">SUM(F6:F12)</f>
        <v>7460</v>
      </c>
      <c r="G13" s="9"/>
    </row>
    <row r="15" customFormat="false" ht="15" hidden="false" customHeight="false" outlineLevel="0" collapsed="false">
      <c r="A15" s="10" t="s">
        <v>25</v>
      </c>
      <c r="B15" s="10" t="n">
        <f aca="false">E13/B13</f>
        <v>40</v>
      </c>
    </row>
    <row r="16" customFormat="false" ht="15" hidden="false" customHeight="false" outlineLevel="0" collapsed="false">
      <c r="A16" s="10" t="s">
        <v>26</v>
      </c>
      <c r="B16" s="10" t="n">
        <f aca="false">F13/B13</f>
        <v>57.3846153846154</v>
      </c>
    </row>
    <row r="18" customFormat="false" ht="15" hidden="false" customHeight="false" outlineLevel="0" collapsed="false">
      <c r="A18" s="10" t="s">
        <v>27</v>
      </c>
    </row>
    <row r="19" customFormat="false" ht="15" hidden="false" customHeight="false" outlineLevel="0" collapsed="false">
      <c r="A19" s="11" t="s">
        <v>28</v>
      </c>
      <c r="B19" s="12" t="n">
        <v>80</v>
      </c>
    </row>
    <row r="20" customFormat="false" ht="15" hidden="false" customHeight="false" outlineLevel="0" collapsed="false">
      <c r="A20" s="11" t="s">
        <v>29</v>
      </c>
      <c r="B20" s="12" t="n">
        <v>150</v>
      </c>
    </row>
    <row r="22" customFormat="false" ht="15" hidden="false" customHeight="false" outlineLevel="0" collapsed="false">
      <c r="A22" s="11" t="s">
        <v>30</v>
      </c>
      <c r="B22" s="13" t="n">
        <f aca="false">B15/B19</f>
        <v>0.5</v>
      </c>
    </row>
    <row r="23" customFormat="false" ht="15" hidden="false" customHeight="false" outlineLevel="0" collapsed="false">
      <c r="A23" s="11" t="s">
        <v>31</v>
      </c>
      <c r="B23" s="13" t="n">
        <f aca="false">B16/B20</f>
        <v>0.382564102564103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2026-08-29T12:47:22Z</dcterms:created>
  <dc:creator>openpyxl</dc:creator>
  <dc:description/>
  <dc:language>en-US</dc:language>
  <cp:lastModifiedBy/>
  <dcterms:modified xsi:type="dcterms:W3CDTF">2026-08-29T12:47:22Z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
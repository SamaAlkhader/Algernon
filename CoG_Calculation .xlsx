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 Calculation" sheetId="1" r:id="rId4"/>
  </sheets>
  <definedNames/>
  <calcPr/>
  <extLst>
    <ext uri="GoogleSheetsCustomDataVersion2">
      <go:sheetsCustomData xmlns:go="http://customooxmlschemas.google.com/" r:id="rId5" roundtripDataChecksum="W3lNMF4YZMPCro0xN001tzlxU0k9fVjQj3LvTbRCa+E="/>
    </ext>
  </extLst>
</workbook>
</file>

<file path=xl/sharedStrings.xml><?xml version="1.0" encoding="utf-8"?>
<sst xmlns="http://schemas.openxmlformats.org/spreadsheetml/2006/main" count="24" uniqueCount="24">
  <si>
    <t>Micromouse - Center of Gravity (CoG) Calculation</t>
  </si>
  <si>
    <t>Method: weighted average, x_CoG = sum(m_i*x_i)/sum(m_i), y_CoG = sum(m_i*y_i)/sum(m_i)</t>
  </si>
  <si>
    <t>Cells in BLUE are inputs to edit once real components/measurements are available. Cells in BLACK are formulas.</t>
  </si>
  <si>
    <t>Component</t>
  </si>
  <si>
    <t>Mass m_i (g)</t>
  </si>
  <si>
    <t>x-position (mm)</t>
  </si>
  <si>
    <t>y-position (mm)</t>
  </si>
  <si>
    <t>m_i * x_i</t>
  </si>
  <si>
    <t>m_i * y_i</t>
  </si>
  <si>
    <t>Battery (LiPo 2S)</t>
  </si>
  <si>
    <t>Drive motor - Left</t>
  </si>
  <si>
    <t>Drive motor - Right</t>
  </si>
  <si>
    <t>Main PCB / MCU board</t>
  </si>
  <si>
    <t>Sensor array (front)</t>
  </si>
  <si>
    <t>Wheels + gearbox (x2)</t>
  </si>
  <si>
    <t>3D-printed chassis shell</t>
  </si>
  <si>
    <t>TOTAL</t>
  </si>
  <si>
    <t>x_CoG (mm)</t>
  </si>
  <si>
    <t>y_CoG (mm)</t>
  </si>
  <si>
    <t>Chassis footprint (assumed, mm)</t>
  </si>
  <si>
    <t>Footprint X (width)</t>
  </si>
  <si>
    <t>Footprint Y (length)</t>
  </si>
  <si>
    <t>CoG X as % of width (target: 40-60% = centered)</t>
  </si>
  <si>
    <t>CoG Y as % of length from rear (target: &lt;=45% = rear/low, resists nose-dive)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</si>
</sst>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theme="1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FF"/>
      <name val="Arial"/>
    </font>
    <font>
      <b/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4" width="16.0"/>
    <col customWidth="1" min="5" max="6" width="12.0"/>
    <col customWidth="1" min="7" max="7" width="44.0"/>
    <col customWidth="1" min="8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/>
    </row>
    <row r="6">
      <c r="A6" s="6" t="s">
        <v>9</v>
      </c>
      <c r="B6" s="7">
        <v>45.0</v>
      </c>
      <c r="C6" s="7">
        <v>40.0</v>
      </c>
      <c r="D6" s="7">
        <v>20.0</v>
      </c>
      <c r="E6" s="6">
        <f t="shared" ref="E6:E12" si="1">B6*C6</f>
        <v>1800</v>
      </c>
      <c r="F6" s="6">
        <f t="shared" ref="F6:F12" si="2">B6*D6</f>
        <v>900</v>
      </c>
      <c r="G6" s="8"/>
    </row>
    <row r="7">
      <c r="A7" s="6" t="s">
        <v>10</v>
      </c>
      <c r="B7" s="7">
        <v>10.0</v>
      </c>
      <c r="C7" s="7">
        <v>25.0</v>
      </c>
      <c r="D7" s="7">
        <v>60.0</v>
      </c>
      <c r="E7" s="6">
        <f t="shared" si="1"/>
        <v>250</v>
      </c>
      <c r="F7" s="6">
        <f t="shared" si="2"/>
        <v>600</v>
      </c>
      <c r="G7" s="8"/>
    </row>
    <row r="8">
      <c r="A8" s="6" t="s">
        <v>11</v>
      </c>
      <c r="B8" s="7">
        <v>10.0</v>
      </c>
      <c r="C8" s="7">
        <v>55.0</v>
      </c>
      <c r="D8" s="7">
        <v>60.0</v>
      </c>
      <c r="E8" s="6">
        <f t="shared" si="1"/>
        <v>550</v>
      </c>
      <c r="F8" s="6">
        <f t="shared" si="2"/>
        <v>600</v>
      </c>
      <c r="G8" s="8"/>
    </row>
    <row r="9">
      <c r="A9" s="6" t="s">
        <v>12</v>
      </c>
      <c r="B9" s="7">
        <v>15.0</v>
      </c>
      <c r="C9" s="7">
        <v>40.0</v>
      </c>
      <c r="D9" s="7">
        <v>90.0</v>
      </c>
      <c r="E9" s="6">
        <f t="shared" si="1"/>
        <v>600</v>
      </c>
      <c r="F9" s="6">
        <f t="shared" si="2"/>
        <v>1350</v>
      </c>
      <c r="G9" s="8"/>
    </row>
    <row r="10">
      <c r="A10" s="6" t="s">
        <v>13</v>
      </c>
      <c r="B10" s="7">
        <v>8.0</v>
      </c>
      <c r="C10" s="7">
        <v>40.0</v>
      </c>
      <c r="D10" s="7">
        <v>130.0</v>
      </c>
      <c r="E10" s="6">
        <f t="shared" si="1"/>
        <v>320</v>
      </c>
      <c r="F10" s="6">
        <f t="shared" si="2"/>
        <v>1040</v>
      </c>
      <c r="G10" s="8"/>
    </row>
    <row r="11">
      <c r="A11" s="6" t="s">
        <v>14</v>
      </c>
      <c r="B11" s="7">
        <v>12.0</v>
      </c>
      <c r="C11" s="7">
        <v>40.0</v>
      </c>
      <c r="D11" s="7">
        <v>60.0</v>
      </c>
      <c r="E11" s="6">
        <f t="shared" si="1"/>
        <v>480</v>
      </c>
      <c r="F11" s="6">
        <f t="shared" si="2"/>
        <v>720</v>
      </c>
      <c r="G11" s="8"/>
    </row>
    <row r="12">
      <c r="A12" s="6" t="s">
        <v>15</v>
      </c>
      <c r="B12" s="9">
        <v>30.0</v>
      </c>
      <c r="C12" s="7">
        <v>40.0</v>
      </c>
      <c r="D12" s="7">
        <v>75.0</v>
      </c>
      <c r="E12" s="6">
        <f t="shared" si="1"/>
        <v>1200</v>
      </c>
      <c r="F12" s="6">
        <f t="shared" si="2"/>
        <v>2250</v>
      </c>
      <c r="G12" s="8"/>
    </row>
    <row r="13">
      <c r="A13" s="10" t="s">
        <v>16</v>
      </c>
      <c r="B13" s="10">
        <f>SUM(B6:B12)</f>
        <v>130</v>
      </c>
      <c r="C13" s="11"/>
      <c r="D13" s="11"/>
      <c r="E13" s="10">
        <f t="shared" ref="E13:F13" si="3">SUM(E6:E12)</f>
        <v>5200</v>
      </c>
      <c r="F13" s="10">
        <f t="shared" si="3"/>
        <v>7460</v>
      </c>
      <c r="G13" s="11"/>
    </row>
    <row r="15">
      <c r="A15" s="12" t="s">
        <v>17</v>
      </c>
      <c r="B15" s="12">
        <f>E13/B13</f>
        <v>40</v>
      </c>
    </row>
    <row r="16">
      <c r="A16" s="12" t="s">
        <v>18</v>
      </c>
      <c r="B16" s="12">
        <f>F13/B13</f>
        <v>57.38461538</v>
      </c>
    </row>
    <row r="18">
      <c r="A18" s="12" t="s">
        <v>19</v>
      </c>
    </row>
    <row r="19">
      <c r="A19" s="13" t="s">
        <v>20</v>
      </c>
      <c r="B19" s="14">
        <v>80.0</v>
      </c>
    </row>
    <row r="20">
      <c r="A20" s="13" t="s">
        <v>21</v>
      </c>
      <c r="B20" s="14">
        <v>150.0</v>
      </c>
    </row>
    <row r="21" ht="15.75" customHeight="1"/>
    <row r="22" ht="15.75" customHeight="1">
      <c r="A22" s="13" t="s">
        <v>22</v>
      </c>
      <c r="B22" s="15">
        <f t="shared" ref="B22:B23" si="4">B15/B19</f>
        <v>0.5</v>
      </c>
    </row>
    <row r="23" ht="15.75" customHeight="1">
      <c r="A23" s="13" t="s">
        <v>23</v>
      </c>
      <c r="B23" s="15">
        <f t="shared" si="4"/>
        <v>0.3825641026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2026-08-29T12:47:22Z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